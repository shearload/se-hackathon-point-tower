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horntontomasetti-my.sharepoint.com/personal/wbinder_thorntontomasetti_com/Documents/Desktop/Hackathon/"/>
    </mc:Choice>
  </mc:AlternateContent>
  <xr:revisionPtr revIDLastSave="98" documentId="8_{A6536AB4-1513-4363-95A1-0CD611A64A55}" xr6:coauthVersionLast="47" xr6:coauthVersionMax="47" xr10:uidLastSave="{2F101950-24CB-4535-BA43-F1691CDF0022}"/>
  <bookViews>
    <workbookView xWindow="-98" yWindow="-98" windowWidth="21795" windowHeight="12975" xr2:uid="{2EDFD12A-ABD7-498C-803C-046A3987328C}"/>
  </bookViews>
  <sheets>
    <sheet name="350m_tower_list_f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  <c r="J3" i="1"/>
  <c r="K3" i="1" s="1"/>
  <c r="N3" i="1" s="1"/>
  <c r="J4" i="1"/>
  <c r="J5" i="1"/>
  <c r="J6" i="1"/>
  <c r="I3" i="1"/>
  <c r="I4" i="1"/>
  <c r="I5" i="1"/>
  <c r="I6" i="1"/>
  <c r="I2" i="1"/>
  <c r="M3" i="1"/>
  <c r="M4" i="1"/>
  <c r="M5" i="1"/>
  <c r="M6" i="1"/>
  <c r="M2" i="1"/>
  <c r="G3" i="1"/>
  <c r="G4" i="1"/>
  <c r="G5" i="1"/>
  <c r="G6" i="1"/>
  <c r="G2" i="1"/>
  <c r="H3" i="1"/>
  <c r="H4" i="1"/>
  <c r="H5" i="1"/>
  <c r="H6" i="1"/>
  <c r="H2" i="1"/>
  <c r="K4" i="1"/>
  <c r="N4" i="1" s="1"/>
  <c r="K2" i="1" l="1"/>
  <c r="N2" i="1" s="1"/>
  <c r="K5" i="1"/>
  <c r="N5" i="1" s="1"/>
  <c r="K6" i="1" l="1"/>
  <c r="N6" i="1" s="1"/>
</calcChain>
</file>

<file path=xl/sharedStrings.xml><?xml version="1.0" encoding="utf-8"?>
<sst xmlns="http://schemas.openxmlformats.org/spreadsheetml/2006/main" count="24" uniqueCount="22">
  <si>
    <t>Name</t>
  </si>
  <si>
    <t>Height (ft)</t>
  </si>
  <si>
    <t>Program</t>
  </si>
  <si>
    <t>Floors</t>
  </si>
  <si>
    <t>Residential</t>
  </si>
  <si>
    <t>Mixed Use</t>
  </si>
  <si>
    <t>Office</t>
  </si>
  <si>
    <t>GFA (sqft)</t>
  </si>
  <si>
    <t>Core A (ft)</t>
  </si>
  <si>
    <t>Core B (ft)</t>
  </si>
  <si>
    <t>Core Area (sqft)</t>
  </si>
  <si>
    <t>Footprint A (ft)</t>
  </si>
  <si>
    <t>Footprint B (ft)</t>
  </si>
  <si>
    <t>Aspect Ratio</t>
  </si>
  <si>
    <t>Location</t>
  </si>
  <si>
    <t>Tower A</t>
  </si>
  <si>
    <t>Tower B</t>
  </si>
  <si>
    <t>Tower C</t>
  </si>
  <si>
    <t>Tower D</t>
  </si>
  <si>
    <t>Tower E</t>
  </si>
  <si>
    <t>Footprint Area (sqft)</t>
  </si>
  <si>
    <t>F2F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</si>
</sst>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F7C3F-A6A0-4BC8-BA81-895C9AC53017}">
  <dimension ref="A1:N6"/>
  <sheetViews>
    <sheetView tabSelected="1" workbookViewId="0">
      <selection activeCell="I12" sqref="I12"/>
    </sheetView>
  </sheetViews>
  <sheetFormatPr defaultRowHeight="14.25" x14ac:dyDescent="0.45"/>
  <cols>
    <col min="2" max="2" width="18.3984375" customWidth="1"/>
    <col min="3" max="3" width="19" customWidth="1"/>
    <col min="4" max="4" width="15.46484375" customWidth="1"/>
    <col min="5" max="5" width="25.19921875" customWidth="1"/>
    <col min="6" max="7" width="18.46484375" customWidth="1"/>
    <col min="8" max="8" width="11.46484375" customWidth="1"/>
    <col min="11" max="11" width="13.53125" customWidth="1"/>
    <col min="14" max="14" width="10.33203125" customWidth="1"/>
  </cols>
  <sheetData>
    <row r="1" spans="1:14" x14ac:dyDescent="0.45">
      <c r="A1" t="s">
        <v>0</v>
      </c>
      <c r="B1" t="s">
        <v>1</v>
      </c>
      <c r="C1" t="s">
        <v>14</v>
      </c>
      <c r="D1" t="s">
        <v>2</v>
      </c>
      <c r="E1" t="s">
        <v>8</v>
      </c>
      <c r="F1" t="s">
        <v>9</v>
      </c>
      <c r="G1" t="s">
        <v>10</v>
      </c>
      <c r="H1" t="s">
        <v>13</v>
      </c>
      <c r="I1" t="s">
        <v>11</v>
      </c>
      <c r="J1" t="s">
        <v>12</v>
      </c>
      <c r="K1" t="s">
        <v>20</v>
      </c>
      <c r="L1" t="s">
        <v>3</v>
      </c>
      <c r="M1" t="s">
        <v>21</v>
      </c>
      <c r="N1" t="s">
        <v>7</v>
      </c>
    </row>
    <row r="2" spans="1:14" x14ac:dyDescent="0.45">
      <c r="A2" t="s">
        <v>15</v>
      </c>
      <c r="B2">
        <v>1300</v>
      </c>
      <c r="D2" t="s">
        <v>4</v>
      </c>
      <c r="E2">
        <v>70</v>
      </c>
      <c r="F2">
        <v>70</v>
      </c>
      <c r="G2">
        <f>E2*F2</f>
        <v>4900</v>
      </c>
      <c r="H2" s="1">
        <f>B2/E2</f>
        <v>18.571428571428573</v>
      </c>
      <c r="I2">
        <f>E2*2</f>
        <v>140</v>
      </c>
      <c r="J2">
        <f>F2*2</f>
        <v>140</v>
      </c>
      <c r="K2">
        <f>I2*J2</f>
        <v>19600</v>
      </c>
      <c r="L2">
        <v>110</v>
      </c>
      <c r="M2" s="1">
        <f>B2/L2</f>
        <v>11.818181818181818</v>
      </c>
      <c r="N2">
        <f>K2*L2</f>
        <v>2156000</v>
      </c>
    </row>
    <row r="3" spans="1:14" x14ac:dyDescent="0.45">
      <c r="A3" t="s">
        <v>16</v>
      </c>
      <c r="B3">
        <v>1168</v>
      </c>
      <c r="D3" t="s">
        <v>4</v>
      </c>
      <c r="E3">
        <v>60</v>
      </c>
      <c r="F3">
        <v>60</v>
      </c>
      <c r="G3">
        <f t="shared" ref="G3:G6" si="0">E3*F3</f>
        <v>3600</v>
      </c>
      <c r="H3" s="1">
        <f>B3/E3</f>
        <v>19.466666666666665</v>
      </c>
      <c r="I3">
        <f t="shared" ref="I3:J6" si="1">E3*2</f>
        <v>120</v>
      </c>
      <c r="J3">
        <f t="shared" si="1"/>
        <v>120</v>
      </c>
      <c r="K3">
        <f t="shared" ref="K3:K6" si="2">I3*J3</f>
        <v>14400</v>
      </c>
      <c r="L3">
        <v>100</v>
      </c>
      <c r="M3" s="1">
        <f>B3/L3</f>
        <v>11.68</v>
      </c>
      <c r="N3">
        <f t="shared" ref="N3:N6" si="3">K3*L3</f>
        <v>1440000</v>
      </c>
    </row>
    <row r="4" spans="1:14" x14ac:dyDescent="0.45">
      <c r="A4" t="s">
        <v>17</v>
      </c>
      <c r="B4">
        <v>1070</v>
      </c>
      <c r="D4" t="s">
        <v>5</v>
      </c>
      <c r="E4">
        <v>70</v>
      </c>
      <c r="F4">
        <v>70</v>
      </c>
      <c r="G4">
        <f t="shared" si="0"/>
        <v>4900</v>
      </c>
      <c r="H4" s="1">
        <f>B4/E4</f>
        <v>15.285714285714286</v>
      </c>
      <c r="I4">
        <f t="shared" si="1"/>
        <v>140</v>
      </c>
      <c r="J4">
        <f t="shared" si="1"/>
        <v>140</v>
      </c>
      <c r="K4">
        <f t="shared" si="2"/>
        <v>19600</v>
      </c>
      <c r="L4">
        <v>80</v>
      </c>
      <c r="M4" s="1">
        <f>B4/L4</f>
        <v>13.375</v>
      </c>
      <c r="N4">
        <f t="shared" si="3"/>
        <v>1568000</v>
      </c>
    </row>
    <row r="5" spans="1:14" x14ac:dyDescent="0.45">
      <c r="A5" t="s">
        <v>18</v>
      </c>
      <c r="B5">
        <v>900</v>
      </c>
      <c r="D5" t="s">
        <v>6</v>
      </c>
      <c r="E5">
        <v>50</v>
      </c>
      <c r="F5">
        <v>50</v>
      </c>
      <c r="G5">
        <f t="shared" si="0"/>
        <v>2500</v>
      </c>
      <c r="H5" s="1">
        <f>B5/E5</f>
        <v>18</v>
      </c>
      <c r="I5">
        <f t="shared" si="1"/>
        <v>100</v>
      </c>
      <c r="J5">
        <f t="shared" si="1"/>
        <v>100</v>
      </c>
      <c r="K5">
        <f t="shared" si="2"/>
        <v>10000</v>
      </c>
      <c r="L5">
        <v>60</v>
      </c>
      <c r="M5" s="1">
        <f>B5/L5</f>
        <v>15</v>
      </c>
      <c r="N5">
        <f t="shared" si="3"/>
        <v>600000</v>
      </c>
    </row>
    <row r="6" spans="1:14" x14ac:dyDescent="0.45">
      <c r="A6" t="s">
        <v>19</v>
      </c>
      <c r="B6">
        <v>1004</v>
      </c>
      <c r="D6" t="s">
        <v>6</v>
      </c>
      <c r="E6">
        <v>45</v>
      </c>
      <c r="F6">
        <v>45</v>
      </c>
      <c r="G6">
        <f t="shared" si="0"/>
        <v>2025</v>
      </c>
      <c r="H6" s="1">
        <f>B6/E6</f>
        <v>22.31111111111111</v>
      </c>
      <c r="I6">
        <f t="shared" si="1"/>
        <v>90</v>
      </c>
      <c r="J6">
        <f t="shared" si="1"/>
        <v>90</v>
      </c>
      <c r="K6">
        <f t="shared" si="2"/>
        <v>8100</v>
      </c>
      <c r="L6">
        <v>70</v>
      </c>
      <c r="M6" s="1">
        <f>B6/L6</f>
        <v>14.342857142857143</v>
      </c>
      <c r="N6">
        <f t="shared" si="3"/>
        <v>567000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350m_tower_list_feet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Binder, Wyeth</cp:lastModifiedBy>
  <dcterms:created xsi:type="dcterms:W3CDTF">2026-10-27T19:19:38Z</dcterms:created>
  <dcterms:modified xsi:type="dcterms:W3CDTF">2026-10-27T20:28:29Z</dcterms:modified>
</cp:coreProperties>
</file>